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101121\Documents\GitHub\hpms-validation\Bridges\"/>
    </mc:Choice>
  </mc:AlternateContent>
  <xr:revisionPtr revIDLastSave="0" documentId="13_ncr:1_{5063EB99-973D-468B-9B7D-CA7AC4F285FE}" xr6:coauthVersionLast="47" xr6:coauthVersionMax="47" xr10:uidLastSave="{00000000-0000-0000-0000-000000000000}"/>
  <bookViews>
    <workbookView xWindow="22932" yWindow="-108" windowWidth="23256" windowHeight="12576" xr2:uid="{00000000-000D-0000-FFFF-FFFF00000000}"/>
  </bookViews>
  <sheets>
    <sheet name="Sheet1" sheetId="1" r:id="rId1"/>
  </sheets>
  <definedNames>
    <definedName name="_xlnm._FilterDatabase" localSheetId="0" hidden="1">Sheet1!$A$1:$I$77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1" l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2" i="1"/>
</calcChain>
</file>

<file path=xl/sharedStrings.xml><?xml version="1.0" encoding="utf-8"?>
<sst xmlns="http://schemas.openxmlformats.org/spreadsheetml/2006/main" count="237" uniqueCount="229">
  <si>
    <t>Structure Number</t>
  </si>
  <si>
    <t>BARS Number</t>
  </si>
  <si>
    <t>LRS RouteID</t>
  </si>
  <si>
    <t>LRS Milepoint</t>
  </si>
  <si>
    <t>NBI 16: Latitude</t>
  </si>
  <si>
    <t>NBI 17: Longitude</t>
  </si>
  <si>
    <t>NBI 49: Structure Length</t>
  </si>
  <si>
    <t>00000000002A180</t>
  </si>
  <si>
    <t>00000000002A181</t>
  </si>
  <si>
    <t>00000000002A182</t>
  </si>
  <si>
    <t>00000000003A201</t>
  </si>
  <si>
    <t>00000000003A204</t>
  </si>
  <si>
    <t>00000000003A210</t>
  </si>
  <si>
    <t>00000000005A088</t>
  </si>
  <si>
    <t>00000000006A319</t>
  </si>
  <si>
    <t>00000000006A320</t>
  </si>
  <si>
    <t>00000000006A321</t>
  </si>
  <si>
    <t>00000000006A322</t>
  </si>
  <si>
    <t>00000000006A323</t>
  </si>
  <si>
    <t>00000000006A324</t>
  </si>
  <si>
    <t>00000000006A325</t>
  </si>
  <si>
    <t>00000000008A135</t>
  </si>
  <si>
    <t>00000000008A138</t>
  </si>
  <si>
    <t>00000000008A139</t>
  </si>
  <si>
    <t>00000000009A138</t>
  </si>
  <si>
    <t>00000000009A902</t>
  </si>
  <si>
    <t>00000000010A325</t>
  </si>
  <si>
    <t>00000000010A326</t>
  </si>
  <si>
    <t>00000000013A279</t>
  </si>
  <si>
    <t>00000000013A280</t>
  </si>
  <si>
    <t>00000000013A281</t>
  </si>
  <si>
    <t>00000000017A363</t>
  </si>
  <si>
    <t>00000000017A364</t>
  </si>
  <si>
    <t>00000000020A887</t>
  </si>
  <si>
    <t>00000000020A888</t>
  </si>
  <si>
    <t>00000000020A889</t>
  </si>
  <si>
    <t>00000000020A890</t>
  </si>
  <si>
    <t>00000000020A893</t>
  </si>
  <si>
    <t>00000000020A896</t>
  </si>
  <si>
    <t>00000000020A898</t>
  </si>
  <si>
    <t>00000000020A952</t>
  </si>
  <si>
    <t>00000000020A953</t>
  </si>
  <si>
    <t>00000000020A954</t>
  </si>
  <si>
    <t>00000000024A383</t>
  </si>
  <si>
    <t>00000000024A384</t>
  </si>
  <si>
    <t>00000000024A385</t>
  </si>
  <si>
    <t>00000000024A386</t>
  </si>
  <si>
    <t>00000000024A910</t>
  </si>
  <si>
    <t>00000000025A279</t>
  </si>
  <si>
    <t>00000000025A280</t>
  </si>
  <si>
    <t>00000000025A281</t>
  </si>
  <si>
    <t>00000000025A285</t>
  </si>
  <si>
    <t>00000000026A907</t>
  </si>
  <si>
    <t>00000000027A198</t>
  </si>
  <si>
    <t>00000000027A199</t>
  </si>
  <si>
    <t>00000000027A208</t>
  </si>
  <si>
    <t>00000000028A342</t>
  </si>
  <si>
    <t>00000000031A334</t>
  </si>
  <si>
    <t>00000000032A101</t>
  </si>
  <si>
    <t>00000000034A149</t>
  </si>
  <si>
    <t>00000000035A151</t>
  </si>
  <si>
    <t>00000000035A152</t>
  </si>
  <si>
    <t>00000000035A153</t>
  </si>
  <si>
    <t>00000000036A174</t>
  </si>
  <si>
    <t>00000000038A148</t>
  </si>
  <si>
    <t>00000000039A253</t>
  </si>
  <si>
    <t>00000000040A183</t>
  </si>
  <si>
    <t>00000000040A184</t>
  </si>
  <si>
    <t>00000000040A185</t>
  </si>
  <si>
    <t>00000000040A905</t>
  </si>
  <si>
    <t>00000000041A335</t>
  </si>
  <si>
    <t>00000000041A336</t>
  </si>
  <si>
    <t>00000000041A337</t>
  </si>
  <si>
    <t>00000000042A264</t>
  </si>
  <si>
    <t>00000000044A192</t>
  </si>
  <si>
    <t>00000000045A098</t>
  </si>
  <si>
    <t>00000000045A099</t>
  </si>
  <si>
    <t>00000000047A097</t>
  </si>
  <si>
    <t>00000000048A052</t>
  </si>
  <si>
    <t>00000000048A108</t>
  </si>
  <si>
    <t>00000000049A150</t>
  </si>
  <si>
    <t>00000000052A166</t>
  </si>
  <si>
    <t>00000000055A254</t>
  </si>
  <si>
    <t>02A180</t>
  </si>
  <si>
    <t>02A181</t>
  </si>
  <si>
    <t>02A182</t>
  </si>
  <si>
    <t>03A201</t>
  </si>
  <si>
    <t>03A204</t>
  </si>
  <si>
    <t>03A210</t>
  </si>
  <si>
    <t>05A088</t>
  </si>
  <si>
    <t>06A319</t>
  </si>
  <si>
    <t>06A320</t>
  </si>
  <si>
    <t>06A321</t>
  </si>
  <si>
    <t>06A322</t>
  </si>
  <si>
    <t>06A323</t>
  </si>
  <si>
    <t>06A324</t>
  </si>
  <si>
    <t>06A325</t>
  </si>
  <si>
    <t>08A135</t>
  </si>
  <si>
    <t>08A138</t>
  </si>
  <si>
    <t>08A139</t>
  </si>
  <si>
    <t>09A138</t>
  </si>
  <si>
    <t>09A902</t>
  </si>
  <si>
    <t>10A325</t>
  </si>
  <si>
    <t>10A326</t>
  </si>
  <si>
    <t>13A279</t>
  </si>
  <si>
    <t>13A280</t>
  </si>
  <si>
    <t>13A281</t>
  </si>
  <si>
    <t>17A363</t>
  </si>
  <si>
    <t>17A364</t>
  </si>
  <si>
    <t>20A887</t>
  </si>
  <si>
    <t>20A888</t>
  </si>
  <si>
    <t>20A889</t>
  </si>
  <si>
    <t>20A890</t>
  </si>
  <si>
    <t>20A893</t>
  </si>
  <si>
    <t>20A896</t>
  </si>
  <si>
    <t>20A898</t>
  </si>
  <si>
    <t>20A952</t>
  </si>
  <si>
    <t>20A953</t>
  </si>
  <si>
    <t>20A954</t>
  </si>
  <si>
    <t>24A383</t>
  </si>
  <si>
    <t>24A384</t>
  </si>
  <si>
    <t>24A385</t>
  </si>
  <si>
    <t>24A386</t>
  </si>
  <si>
    <t>24A910</t>
  </si>
  <si>
    <t>25A279</t>
  </si>
  <si>
    <t>25A280</t>
  </si>
  <si>
    <t>25A281</t>
  </si>
  <si>
    <t>25A285</t>
  </si>
  <si>
    <t>26A907</t>
  </si>
  <si>
    <t>27A198</t>
  </si>
  <si>
    <t>27A199</t>
  </si>
  <si>
    <t>27A208</t>
  </si>
  <si>
    <t>28A342</t>
  </si>
  <si>
    <t>31A334</t>
  </si>
  <si>
    <t>32A101</t>
  </si>
  <si>
    <t>34A149</t>
  </si>
  <si>
    <t>35A151</t>
  </si>
  <si>
    <t>35A152</t>
  </si>
  <si>
    <t>35A153</t>
  </si>
  <si>
    <t>36A174</t>
  </si>
  <si>
    <t>38A148</t>
  </si>
  <si>
    <t>39A253</t>
  </si>
  <si>
    <t>40A183</t>
  </si>
  <si>
    <t>40A184</t>
  </si>
  <si>
    <t>40A185</t>
  </si>
  <si>
    <t>40A905</t>
  </si>
  <si>
    <t>41A335</t>
  </si>
  <si>
    <t>41A336</t>
  </si>
  <si>
    <t>41A337</t>
  </si>
  <si>
    <t>42A264</t>
  </si>
  <si>
    <t>44A192</t>
  </si>
  <si>
    <t>45A098</t>
  </si>
  <si>
    <t>45A099</t>
  </si>
  <si>
    <t>47A097</t>
  </si>
  <si>
    <t>48A052</t>
  </si>
  <si>
    <t>48A108</t>
  </si>
  <si>
    <t>49A150</t>
  </si>
  <si>
    <t>52A166</t>
  </si>
  <si>
    <t>55A254</t>
  </si>
  <si>
    <t>0230051000000</t>
  </si>
  <si>
    <t>02200110000NB</t>
  </si>
  <si>
    <t>0330003000000</t>
  </si>
  <si>
    <t>0340085230000</t>
  </si>
  <si>
    <t>0330017000000</t>
  </si>
  <si>
    <t>0530002000000</t>
  </si>
  <si>
    <t>06100640000WB</t>
  </si>
  <si>
    <t>06100640000EB</t>
  </si>
  <si>
    <t>0830004000000</t>
  </si>
  <si>
    <t>0840046000000</t>
  </si>
  <si>
    <t>0840019000000</t>
  </si>
  <si>
    <t>0940023030000</t>
  </si>
  <si>
    <t>0900025000000</t>
  </si>
  <si>
    <t>1040002020000</t>
  </si>
  <si>
    <t>1040015000000</t>
  </si>
  <si>
    <t>1330039000000</t>
  </si>
  <si>
    <t>1340031000000</t>
  </si>
  <si>
    <t>1340024010000</t>
  </si>
  <si>
    <t>1740050590000</t>
  </si>
  <si>
    <t>1730020000000</t>
  </si>
  <si>
    <t>2040059000000</t>
  </si>
  <si>
    <t>2040019000000</t>
  </si>
  <si>
    <t>2040015000000</t>
  </si>
  <si>
    <t>2040214132400</t>
  </si>
  <si>
    <t>2040073050000</t>
  </si>
  <si>
    <t>2040079030000</t>
  </si>
  <si>
    <t>2480901210000</t>
  </si>
  <si>
    <t>2440083210000</t>
  </si>
  <si>
    <t>24200520000EB</t>
  </si>
  <si>
    <t>2440012040000</t>
  </si>
  <si>
    <t>2400362000000</t>
  </si>
  <si>
    <t>25100790000SB</t>
  </si>
  <si>
    <t>2540250030000</t>
  </si>
  <si>
    <t>25200190000NB</t>
  </si>
  <si>
    <t>2540007000000</t>
  </si>
  <si>
    <t>2675256001900</t>
  </si>
  <si>
    <t>2740035100000</t>
  </si>
  <si>
    <t>2740045030000</t>
  </si>
  <si>
    <t>2740016000000</t>
  </si>
  <si>
    <t>2840002000000</t>
  </si>
  <si>
    <t>31100790000NB</t>
  </si>
  <si>
    <t>3240015000000</t>
  </si>
  <si>
    <t>3440026000000</t>
  </si>
  <si>
    <t>35200400000WB</t>
  </si>
  <si>
    <t>35100700000WB</t>
  </si>
  <si>
    <t>35100700000EB</t>
  </si>
  <si>
    <t>3640028030000</t>
  </si>
  <si>
    <t>3840004010000</t>
  </si>
  <si>
    <t>3940106000000</t>
  </si>
  <si>
    <t>4040044000000</t>
  </si>
  <si>
    <t>40100640017WB0044D</t>
  </si>
  <si>
    <t>40100640017WB0044C</t>
  </si>
  <si>
    <t>4001471000000</t>
  </si>
  <si>
    <t>4140028060000</t>
  </si>
  <si>
    <t>4140003020000</t>
  </si>
  <si>
    <t>4140019080000</t>
  </si>
  <si>
    <t>4230015000000</t>
  </si>
  <si>
    <t>44200330000EB</t>
  </si>
  <si>
    <t>4530020000000</t>
  </si>
  <si>
    <t>4560847000000</t>
  </si>
  <si>
    <t>4730072000000</t>
  </si>
  <si>
    <t>4840038000000</t>
  </si>
  <si>
    <t>4830023000000</t>
  </si>
  <si>
    <t>4940032000000</t>
  </si>
  <si>
    <t>5230007000000</t>
  </si>
  <si>
    <t>5530010000000</t>
  </si>
  <si>
    <t>BMP_calculated</t>
  </si>
  <si>
    <t>EMP_calculated</t>
  </si>
  <si>
    <t>2040020000000</t>
  </si>
  <si>
    <t>2040023000000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</si>
</sst>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49" fontId="1" fillId="0" borderId="1" xfId="0" applyNumberFormat="1" applyFont="1" applyBorder="1" applyAlignment="1">
      <alignment horizontal="center" vertical="top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7"/>
  <sheetViews>
    <sheetView tabSelected="1" workbookViewId="0">
      <selection activeCell="A31" sqref="A31"/>
    </sheetView>
  </sheetViews>
  <sheetFormatPr defaultRowHeight="14.4" x14ac:dyDescent="0.3"/>
  <cols>
    <col min="1" max="1" width="21.5546875" bestFit="1" customWidth="1"/>
    <col min="2" max="2" width="18" bestFit="1" customWidth="1"/>
    <col min="3" max="3" width="20.5546875" style="4" bestFit="1" customWidth="1"/>
    <col min="4" max="4" width="18" bestFit="1" customWidth="1"/>
    <col min="5" max="5" width="19.5546875" bestFit="1" customWidth="1"/>
    <col min="6" max="6" width="21.109375" bestFit="1" customWidth="1"/>
    <col min="7" max="7" width="27.109375" bestFit="1" customWidth="1"/>
    <col min="8" max="8" width="19.88671875" bestFit="1" customWidth="1"/>
    <col min="9" max="9" width="19.6640625" bestFit="1" customWidth="1"/>
  </cols>
  <sheetData>
    <row r="1" spans="1:9" x14ac:dyDescent="0.3">
      <c r="A1" s="1" t="s">
        <v>0</v>
      </c>
      <c r="B1" s="1" t="s">
        <v>1</v>
      </c>
      <c r="C1" s="3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225</v>
      </c>
      <c r="I1" s="2" t="s">
        <v>226</v>
      </c>
    </row>
    <row r="2" spans="1:9" x14ac:dyDescent="0.3">
      <c r="A2" t="s">
        <v>7</v>
      </c>
      <c r="B2" t="s">
        <v>83</v>
      </c>
      <c r="C2" s="4" t="s">
        <v>159</v>
      </c>
      <c r="D2">
        <v>4.5953999999999997</v>
      </c>
      <c r="E2">
        <v>39.36253</v>
      </c>
      <c r="F2">
        <v>-78.048180000000002</v>
      </c>
      <c r="G2">
        <v>202</v>
      </c>
      <c r="H2">
        <f>IF(2*(D2)-I2&gt;0,2*(D2)-I2,0)</f>
        <v>4.5571424242424241</v>
      </c>
      <c r="I2">
        <f>(G2/5280)+D2</f>
        <v>4.6336575757575753</v>
      </c>
    </row>
    <row r="3" spans="1:9" x14ac:dyDescent="0.3">
      <c r="A3" t="s">
        <v>8</v>
      </c>
      <c r="B3" t="s">
        <v>84</v>
      </c>
      <c r="C3" s="4" t="s">
        <v>159</v>
      </c>
      <c r="D3">
        <v>9.3529999999999998</v>
      </c>
      <c r="E3">
        <v>39.319850000000002</v>
      </c>
      <c r="F3">
        <v>-77.988510000000005</v>
      </c>
      <c r="G3">
        <v>252.2</v>
      </c>
      <c r="H3">
        <f t="shared" ref="H3:H66" si="0">IF(2*(D3)-I3&gt;0,2*(D3)-I3,0)</f>
        <v>9.3052348484848491</v>
      </c>
      <c r="I3">
        <f t="shared" ref="I3:I66" si="1">(G3/5280)+D3</f>
        <v>9.4007651515151505</v>
      </c>
    </row>
    <row r="4" spans="1:9" x14ac:dyDescent="0.3">
      <c r="A4" t="s">
        <v>9</v>
      </c>
      <c r="B4" t="s">
        <v>85</v>
      </c>
      <c r="C4" s="4" t="s">
        <v>160</v>
      </c>
      <c r="D4">
        <v>26.16</v>
      </c>
      <c r="E4">
        <v>39.600029999999997</v>
      </c>
      <c r="F4">
        <v>-77.830520000000007</v>
      </c>
      <c r="G4">
        <v>1700.9</v>
      </c>
      <c r="H4">
        <f t="shared" si="0"/>
        <v>25.83785984848485</v>
      </c>
      <c r="I4">
        <f t="shared" si="1"/>
        <v>26.48214015151515</v>
      </c>
    </row>
    <row r="5" spans="1:9" x14ac:dyDescent="0.3">
      <c r="A5" t="s">
        <v>10</v>
      </c>
      <c r="B5" t="s">
        <v>86</v>
      </c>
      <c r="C5" s="4" t="s">
        <v>161</v>
      </c>
      <c r="D5">
        <v>38.234000000000002</v>
      </c>
      <c r="E5">
        <v>37.997160000000001</v>
      </c>
      <c r="F5">
        <v>-81.54392</v>
      </c>
      <c r="G5">
        <v>73.2</v>
      </c>
      <c r="H5">
        <f t="shared" si="0"/>
        <v>38.220136363636364</v>
      </c>
      <c r="I5">
        <f t="shared" si="1"/>
        <v>38.24786363636364</v>
      </c>
    </row>
    <row r="6" spans="1:9" x14ac:dyDescent="0.3">
      <c r="A6" t="s">
        <v>11</v>
      </c>
      <c r="B6" t="s">
        <v>87</v>
      </c>
      <c r="C6" s="4" t="s">
        <v>162</v>
      </c>
      <c r="D6">
        <v>1.2E-2</v>
      </c>
      <c r="E6">
        <v>37.890419999999999</v>
      </c>
      <c r="F6">
        <v>-81.673230000000004</v>
      </c>
      <c r="G6">
        <v>67.7</v>
      </c>
      <c r="H6">
        <f t="shared" si="0"/>
        <v>0</v>
      </c>
      <c r="I6">
        <f t="shared" si="1"/>
        <v>2.4821969696969697E-2</v>
      </c>
    </row>
    <row r="7" spans="1:9" x14ac:dyDescent="0.3">
      <c r="A7" t="s">
        <v>12</v>
      </c>
      <c r="B7" t="s">
        <v>88</v>
      </c>
      <c r="C7" s="4" t="s">
        <v>163</v>
      </c>
      <c r="D7">
        <v>11.496</v>
      </c>
      <c r="E7">
        <v>38.058579999999999</v>
      </c>
      <c r="F7">
        <v>-81.824470000000005</v>
      </c>
      <c r="G7">
        <v>348</v>
      </c>
      <c r="H7">
        <f t="shared" si="0"/>
        <v>11.430090909090909</v>
      </c>
      <c r="I7">
        <f t="shared" si="1"/>
        <v>11.561909090909092</v>
      </c>
    </row>
    <row r="8" spans="1:9" x14ac:dyDescent="0.3">
      <c r="A8" t="s">
        <v>13</v>
      </c>
      <c r="B8" t="s">
        <v>89</v>
      </c>
      <c r="C8" s="4" t="s">
        <v>164</v>
      </c>
      <c r="D8">
        <v>5.6210000000000004</v>
      </c>
      <c r="E8">
        <v>40.254199999999997</v>
      </c>
      <c r="F8">
        <v>-80.631100000000004</v>
      </c>
      <c r="G8">
        <v>1853.5</v>
      </c>
      <c r="H8">
        <f t="shared" si="0"/>
        <v>5.2699583333333342</v>
      </c>
      <c r="I8">
        <f t="shared" si="1"/>
        <v>5.9720416666666667</v>
      </c>
    </row>
    <row r="9" spans="1:9" x14ac:dyDescent="0.3">
      <c r="A9" t="s">
        <v>14</v>
      </c>
      <c r="B9" t="s">
        <v>90</v>
      </c>
      <c r="C9" s="4" t="s">
        <v>165</v>
      </c>
      <c r="D9">
        <v>14.571999999999999</v>
      </c>
      <c r="E9">
        <v>38.413440000000001</v>
      </c>
      <c r="F9">
        <v>-82.348119999999994</v>
      </c>
      <c r="G9">
        <v>156.80000000000001</v>
      </c>
      <c r="H9">
        <f t="shared" si="0"/>
        <v>14.54230303030303</v>
      </c>
      <c r="I9">
        <f t="shared" si="1"/>
        <v>14.601696969696969</v>
      </c>
    </row>
    <row r="10" spans="1:9" x14ac:dyDescent="0.3">
      <c r="A10" t="s">
        <v>15</v>
      </c>
      <c r="B10" t="s">
        <v>91</v>
      </c>
      <c r="C10" s="4" t="s">
        <v>166</v>
      </c>
      <c r="D10">
        <v>17.524999999999999</v>
      </c>
      <c r="E10">
        <v>38.422069999999998</v>
      </c>
      <c r="F10">
        <v>-82.299080000000004</v>
      </c>
      <c r="G10">
        <v>1224.0999999999999</v>
      </c>
      <c r="H10">
        <f t="shared" si="0"/>
        <v>17.293162878787879</v>
      </c>
      <c r="I10">
        <f t="shared" si="1"/>
        <v>17.756837121212119</v>
      </c>
    </row>
    <row r="11" spans="1:9" x14ac:dyDescent="0.3">
      <c r="A11" t="s">
        <v>16</v>
      </c>
      <c r="B11" t="s">
        <v>92</v>
      </c>
      <c r="C11" s="4" t="s">
        <v>165</v>
      </c>
      <c r="D11">
        <v>18.077000000000002</v>
      </c>
      <c r="E11">
        <v>38.419280000000001</v>
      </c>
      <c r="F11">
        <v>-82.290040000000005</v>
      </c>
      <c r="G11">
        <v>242.8</v>
      </c>
      <c r="H11">
        <f t="shared" si="0"/>
        <v>18.031015151515152</v>
      </c>
      <c r="I11">
        <f t="shared" si="1"/>
        <v>18.122984848484851</v>
      </c>
    </row>
    <row r="12" spans="1:9" x14ac:dyDescent="0.3">
      <c r="A12" t="s">
        <v>17</v>
      </c>
      <c r="B12" t="s">
        <v>93</v>
      </c>
      <c r="C12" s="4" t="s">
        <v>166</v>
      </c>
      <c r="D12">
        <v>18.495000000000001</v>
      </c>
      <c r="E12">
        <v>38.417099999999998</v>
      </c>
      <c r="F12">
        <v>-82.282759999999996</v>
      </c>
      <c r="G12">
        <v>92.5</v>
      </c>
      <c r="H12">
        <f t="shared" si="0"/>
        <v>18.477481060606063</v>
      </c>
      <c r="I12">
        <f t="shared" si="1"/>
        <v>18.512518939393939</v>
      </c>
    </row>
    <row r="13" spans="1:9" x14ac:dyDescent="0.3">
      <c r="A13" t="s">
        <v>18</v>
      </c>
      <c r="B13" t="s">
        <v>94</v>
      </c>
      <c r="C13" s="4" t="s">
        <v>165</v>
      </c>
      <c r="D13">
        <v>19.283999999999999</v>
      </c>
      <c r="E13">
        <v>38.415860000000002</v>
      </c>
      <c r="F13">
        <v>-82.268060000000006</v>
      </c>
      <c r="G13">
        <v>323</v>
      </c>
      <c r="H13">
        <f t="shared" si="0"/>
        <v>19.222825757575755</v>
      </c>
      <c r="I13">
        <f t="shared" si="1"/>
        <v>19.345174242424243</v>
      </c>
    </row>
    <row r="14" spans="1:9" x14ac:dyDescent="0.3">
      <c r="A14" t="s">
        <v>19</v>
      </c>
      <c r="B14" t="s">
        <v>95</v>
      </c>
      <c r="C14" s="4" t="s">
        <v>165</v>
      </c>
      <c r="D14">
        <v>19.739999999999998</v>
      </c>
      <c r="E14">
        <v>38.418050000000001</v>
      </c>
      <c r="F14">
        <v>-82.261089999999996</v>
      </c>
      <c r="G14">
        <v>130.5</v>
      </c>
      <c r="H14">
        <f t="shared" si="0"/>
        <v>19.715284090909091</v>
      </c>
      <c r="I14">
        <f t="shared" si="1"/>
        <v>19.764715909090906</v>
      </c>
    </row>
    <row r="15" spans="1:9" x14ac:dyDescent="0.3">
      <c r="A15" t="s">
        <v>20</v>
      </c>
      <c r="B15" t="s">
        <v>96</v>
      </c>
      <c r="C15" s="4" t="s">
        <v>165</v>
      </c>
      <c r="D15">
        <v>20.257000000000001</v>
      </c>
      <c r="E15">
        <v>38.421100000000003</v>
      </c>
      <c r="F15">
        <v>-82.25215</v>
      </c>
      <c r="G15">
        <v>353</v>
      </c>
      <c r="H15">
        <f t="shared" si="0"/>
        <v>20.190143939393941</v>
      </c>
      <c r="I15">
        <f t="shared" si="1"/>
        <v>20.323856060606062</v>
      </c>
    </row>
    <row r="16" spans="1:9" x14ac:dyDescent="0.3">
      <c r="A16" t="s">
        <v>21</v>
      </c>
      <c r="B16" t="s">
        <v>97</v>
      </c>
      <c r="C16" s="4" t="s">
        <v>167</v>
      </c>
      <c r="D16">
        <v>5.4429999999999996</v>
      </c>
      <c r="E16">
        <v>38.491680000000002</v>
      </c>
      <c r="F16">
        <v>-81.162559999999999</v>
      </c>
      <c r="G16">
        <v>56.2</v>
      </c>
      <c r="H16">
        <f t="shared" si="0"/>
        <v>5.4323560606060601</v>
      </c>
      <c r="I16">
        <f t="shared" si="1"/>
        <v>5.4536439393939391</v>
      </c>
    </row>
    <row r="17" spans="1:9" x14ac:dyDescent="0.3">
      <c r="A17" t="s">
        <v>22</v>
      </c>
      <c r="B17" t="s">
        <v>98</v>
      </c>
      <c r="C17" s="4" t="s">
        <v>168</v>
      </c>
      <c r="D17">
        <v>4.4999999999999998E-2</v>
      </c>
      <c r="E17">
        <v>38.536140000000003</v>
      </c>
      <c r="F17">
        <v>-81.034130000000005</v>
      </c>
      <c r="G17">
        <v>296.2</v>
      </c>
      <c r="H17">
        <f t="shared" si="0"/>
        <v>0</v>
      </c>
      <c r="I17">
        <f t="shared" si="1"/>
        <v>0.10109848484848485</v>
      </c>
    </row>
    <row r="18" spans="1:9" x14ac:dyDescent="0.3">
      <c r="A18" t="s">
        <v>23</v>
      </c>
      <c r="B18" t="s">
        <v>99</v>
      </c>
      <c r="C18" s="4" t="s">
        <v>169</v>
      </c>
      <c r="D18">
        <v>0.64800000000000002</v>
      </c>
      <c r="E18">
        <v>38.588949999999997</v>
      </c>
      <c r="F18">
        <v>-81.026790000000005</v>
      </c>
      <c r="G18">
        <v>22</v>
      </c>
      <c r="H18">
        <f t="shared" si="0"/>
        <v>0.64383333333333337</v>
      </c>
      <c r="I18">
        <f t="shared" si="1"/>
        <v>0.65216666666666667</v>
      </c>
    </row>
    <row r="19" spans="1:9" x14ac:dyDescent="0.3">
      <c r="A19" t="s">
        <v>24</v>
      </c>
      <c r="B19" t="s">
        <v>100</v>
      </c>
      <c r="C19" s="4" t="s">
        <v>170</v>
      </c>
      <c r="D19">
        <v>2.133</v>
      </c>
      <c r="E19">
        <v>39.190109999999997</v>
      </c>
      <c r="F19">
        <v>-80.795259999999999</v>
      </c>
      <c r="G19">
        <v>50</v>
      </c>
      <c r="H19">
        <f t="shared" si="0"/>
        <v>2.1235303030303032</v>
      </c>
      <c r="I19">
        <f t="shared" si="1"/>
        <v>2.1424696969696968</v>
      </c>
    </row>
    <row r="20" spans="1:9" x14ac:dyDescent="0.3">
      <c r="A20" t="s">
        <v>25</v>
      </c>
      <c r="B20" t="s">
        <v>101</v>
      </c>
      <c r="C20" s="4" t="s">
        <v>171</v>
      </c>
      <c r="D20">
        <v>1.7999999999999999E-2</v>
      </c>
      <c r="E20">
        <v>39.28989</v>
      </c>
      <c r="F20">
        <v>-80.771460000000005</v>
      </c>
      <c r="G20">
        <v>133</v>
      </c>
      <c r="H20">
        <f t="shared" si="0"/>
        <v>0</v>
      </c>
      <c r="I20">
        <f t="shared" si="1"/>
        <v>4.3189393939393937E-2</v>
      </c>
    </row>
    <row r="21" spans="1:9" x14ac:dyDescent="0.3">
      <c r="A21" t="s">
        <v>26</v>
      </c>
      <c r="B21" t="s">
        <v>102</v>
      </c>
      <c r="C21" s="4" t="s">
        <v>172</v>
      </c>
      <c r="D21">
        <v>1.4E-2</v>
      </c>
      <c r="E21">
        <v>38.18638</v>
      </c>
      <c r="F21">
        <v>-81.298990000000003</v>
      </c>
      <c r="G21">
        <v>68.099999999999994</v>
      </c>
      <c r="H21">
        <f t="shared" si="0"/>
        <v>1.102272727272726E-3</v>
      </c>
      <c r="I21">
        <f t="shared" si="1"/>
        <v>2.6897727272727275E-2</v>
      </c>
    </row>
    <row r="22" spans="1:9" x14ac:dyDescent="0.3">
      <c r="A22" t="s">
        <v>27</v>
      </c>
      <c r="B22" t="s">
        <v>103</v>
      </c>
      <c r="C22" s="4" t="s">
        <v>173</v>
      </c>
      <c r="D22">
        <v>16.155999999999999</v>
      </c>
      <c r="E22">
        <v>38.018590000000003</v>
      </c>
      <c r="F22">
        <v>-81.352850000000004</v>
      </c>
      <c r="G22">
        <v>102.6</v>
      </c>
      <c r="H22">
        <f t="shared" si="0"/>
        <v>16.136568181818181</v>
      </c>
      <c r="I22">
        <f t="shared" si="1"/>
        <v>16.175431818181817</v>
      </c>
    </row>
    <row r="23" spans="1:9" x14ac:dyDescent="0.3">
      <c r="A23" t="s">
        <v>28</v>
      </c>
      <c r="B23" t="s">
        <v>104</v>
      </c>
      <c r="C23" s="4" t="s">
        <v>174</v>
      </c>
      <c r="D23">
        <v>6.8440000000000003</v>
      </c>
      <c r="E23">
        <v>38.219880000000003</v>
      </c>
      <c r="F23">
        <v>-80.395290000000003</v>
      </c>
      <c r="G23">
        <v>105</v>
      </c>
      <c r="H23">
        <f t="shared" si="0"/>
        <v>6.824113636363637</v>
      </c>
      <c r="I23">
        <f t="shared" si="1"/>
        <v>6.8638863636363636</v>
      </c>
    </row>
    <row r="24" spans="1:9" x14ac:dyDescent="0.3">
      <c r="A24" t="s">
        <v>29</v>
      </c>
      <c r="B24" t="s">
        <v>105</v>
      </c>
      <c r="C24" s="4" t="s">
        <v>175</v>
      </c>
      <c r="D24">
        <v>1.38</v>
      </c>
      <c r="E24">
        <v>37.823059999999998</v>
      </c>
      <c r="F24">
        <v>-80.615369999999999</v>
      </c>
      <c r="G24">
        <v>66.7</v>
      </c>
      <c r="H24">
        <f t="shared" si="0"/>
        <v>1.3673674242424241</v>
      </c>
      <c r="I24">
        <f t="shared" si="1"/>
        <v>1.3926325757575757</v>
      </c>
    </row>
    <row r="25" spans="1:9" x14ac:dyDescent="0.3">
      <c r="A25" t="s">
        <v>30</v>
      </c>
      <c r="B25" t="s">
        <v>106</v>
      </c>
      <c r="C25" s="4" t="s">
        <v>176</v>
      </c>
      <c r="D25">
        <v>1.43</v>
      </c>
      <c r="E25">
        <v>37.898519999999998</v>
      </c>
      <c r="F25">
        <v>-80.754480000000001</v>
      </c>
      <c r="G25">
        <v>27.6</v>
      </c>
      <c r="H25">
        <f t="shared" si="0"/>
        <v>1.4247727272727273</v>
      </c>
      <c r="I25">
        <f t="shared" si="1"/>
        <v>1.4352272727272726</v>
      </c>
    </row>
    <row r="26" spans="1:9" x14ac:dyDescent="0.3">
      <c r="A26" t="s">
        <v>31</v>
      </c>
      <c r="B26" t="s">
        <v>107</v>
      </c>
      <c r="C26" s="4" t="s">
        <v>177</v>
      </c>
      <c r="D26">
        <v>1.4999999999999999E-2</v>
      </c>
      <c r="E26">
        <v>39.287559999999999</v>
      </c>
      <c r="F26">
        <v>-80.348759999999999</v>
      </c>
      <c r="G26">
        <v>112.3</v>
      </c>
      <c r="H26">
        <f t="shared" si="0"/>
        <v>0</v>
      </c>
      <c r="I26">
        <f t="shared" si="1"/>
        <v>3.6268939393939395E-2</v>
      </c>
    </row>
    <row r="27" spans="1:9" x14ac:dyDescent="0.3">
      <c r="A27" t="s">
        <v>32</v>
      </c>
      <c r="B27" t="s">
        <v>108</v>
      </c>
      <c r="C27" s="4" t="s">
        <v>178</v>
      </c>
      <c r="D27">
        <v>30.585000000000001</v>
      </c>
      <c r="E27">
        <v>39.367420000000003</v>
      </c>
      <c r="F27">
        <v>-80.410340000000005</v>
      </c>
      <c r="G27">
        <v>117.8</v>
      </c>
      <c r="H27">
        <f t="shared" si="0"/>
        <v>30.562689393939394</v>
      </c>
      <c r="I27">
        <f t="shared" si="1"/>
        <v>30.607310606060608</v>
      </c>
    </row>
    <row r="28" spans="1:9" x14ac:dyDescent="0.3">
      <c r="A28" t="s">
        <v>33</v>
      </c>
      <c r="B28" t="s">
        <v>109</v>
      </c>
      <c r="C28" s="4" t="s">
        <v>227</v>
      </c>
      <c r="D28">
        <v>4.0010000000000003</v>
      </c>
      <c r="E28">
        <v>38.307450000000003</v>
      </c>
      <c r="F28">
        <v>-81.669430000000006</v>
      </c>
      <c r="G28">
        <v>73.2</v>
      </c>
      <c r="H28">
        <f t="shared" si="0"/>
        <v>3.9871363636363641</v>
      </c>
      <c r="I28">
        <f t="shared" si="1"/>
        <v>4.0148636363636365</v>
      </c>
    </row>
    <row r="29" spans="1:9" x14ac:dyDescent="0.3">
      <c r="A29" t="s">
        <v>34</v>
      </c>
      <c r="B29" t="s">
        <v>110</v>
      </c>
      <c r="C29" s="4" t="s">
        <v>227</v>
      </c>
      <c r="D29">
        <v>4.1609999999999996</v>
      </c>
      <c r="E29">
        <v>38.305320000000002</v>
      </c>
      <c r="F29">
        <v>-81.66892</v>
      </c>
      <c r="G29">
        <v>68.7</v>
      </c>
      <c r="H29">
        <f t="shared" si="0"/>
        <v>4.1479886363636362</v>
      </c>
      <c r="I29">
        <f t="shared" si="1"/>
        <v>4.1740113636363629</v>
      </c>
    </row>
    <row r="30" spans="1:9" x14ac:dyDescent="0.3">
      <c r="A30" t="s">
        <v>35</v>
      </c>
      <c r="B30" t="s">
        <v>111</v>
      </c>
      <c r="C30" s="4" t="s">
        <v>227</v>
      </c>
      <c r="D30">
        <v>4.2720000000000002</v>
      </c>
      <c r="E30">
        <v>38.303939999999997</v>
      </c>
      <c r="F30">
        <v>-81.667689999999993</v>
      </c>
      <c r="G30">
        <v>74.3</v>
      </c>
      <c r="H30">
        <f t="shared" si="0"/>
        <v>4.2579280303030309</v>
      </c>
      <c r="I30">
        <f t="shared" si="1"/>
        <v>4.2860719696969696</v>
      </c>
    </row>
    <row r="31" spans="1:9" x14ac:dyDescent="0.3">
      <c r="A31" t="s">
        <v>36</v>
      </c>
      <c r="B31" t="s">
        <v>112</v>
      </c>
      <c r="C31" s="4" t="s">
        <v>228</v>
      </c>
      <c r="D31">
        <v>3.6459999999999999</v>
      </c>
      <c r="E31">
        <v>38.29806</v>
      </c>
      <c r="F31">
        <v>-81.64434</v>
      </c>
      <c r="G31">
        <v>74.2</v>
      </c>
      <c r="H31">
        <f t="shared" si="0"/>
        <v>3.6319469696969695</v>
      </c>
      <c r="I31">
        <f t="shared" si="1"/>
        <v>3.6600530303030303</v>
      </c>
    </row>
    <row r="32" spans="1:9" x14ac:dyDescent="0.3">
      <c r="A32" t="s">
        <v>37</v>
      </c>
      <c r="B32" t="s">
        <v>113</v>
      </c>
      <c r="C32" s="4" t="s">
        <v>179</v>
      </c>
      <c r="D32">
        <v>4.63</v>
      </c>
      <c r="E32">
        <v>38.527200000000001</v>
      </c>
      <c r="F32">
        <v>-81.308090000000007</v>
      </c>
      <c r="G32">
        <v>54.1</v>
      </c>
      <c r="H32">
        <f t="shared" si="0"/>
        <v>4.6197537878787882</v>
      </c>
      <c r="I32">
        <f t="shared" si="1"/>
        <v>4.6402462121212116</v>
      </c>
    </row>
    <row r="33" spans="1:9" x14ac:dyDescent="0.3">
      <c r="A33" t="s">
        <v>38</v>
      </c>
      <c r="B33" t="s">
        <v>114</v>
      </c>
      <c r="C33" s="4" t="s">
        <v>180</v>
      </c>
      <c r="D33">
        <v>1.7000000000000001E-2</v>
      </c>
      <c r="E33">
        <v>38.561889999999998</v>
      </c>
      <c r="F33">
        <v>-81.635509999999996</v>
      </c>
      <c r="G33">
        <v>106</v>
      </c>
      <c r="H33">
        <f t="shared" si="0"/>
        <v>0</v>
      </c>
      <c r="I33">
        <f t="shared" si="1"/>
        <v>3.7075757575757581E-2</v>
      </c>
    </row>
    <row r="34" spans="1:9" x14ac:dyDescent="0.3">
      <c r="A34" t="s">
        <v>39</v>
      </c>
      <c r="B34" t="s">
        <v>115</v>
      </c>
      <c r="C34" s="4" t="s">
        <v>181</v>
      </c>
      <c r="D34">
        <v>13.206</v>
      </c>
      <c r="E34">
        <v>38.308520000000001</v>
      </c>
      <c r="F34">
        <v>-81.70102</v>
      </c>
      <c r="G34">
        <v>52.3</v>
      </c>
      <c r="H34">
        <f t="shared" si="0"/>
        <v>13.196094696969697</v>
      </c>
      <c r="I34">
        <f t="shared" si="1"/>
        <v>13.215905303030302</v>
      </c>
    </row>
    <row r="35" spans="1:9" x14ac:dyDescent="0.3">
      <c r="A35" t="s">
        <v>40</v>
      </c>
      <c r="B35" t="s">
        <v>116</v>
      </c>
      <c r="C35" s="4" t="s">
        <v>182</v>
      </c>
      <c r="D35">
        <v>1.4750000000000001</v>
      </c>
      <c r="E35">
        <v>38.344450000000002</v>
      </c>
      <c r="F35">
        <v>-81.709639999999993</v>
      </c>
      <c r="G35">
        <v>441.5</v>
      </c>
      <c r="H35">
        <f t="shared" si="0"/>
        <v>1.391382575757576</v>
      </c>
      <c r="I35">
        <f t="shared" si="1"/>
        <v>1.5586174242424242</v>
      </c>
    </row>
    <row r="36" spans="1:9" x14ac:dyDescent="0.3">
      <c r="A36" t="s">
        <v>41</v>
      </c>
      <c r="B36" t="s">
        <v>117</v>
      </c>
      <c r="C36" s="4" t="s">
        <v>183</v>
      </c>
      <c r="D36">
        <v>1.859</v>
      </c>
      <c r="E36">
        <v>38.313029999999998</v>
      </c>
      <c r="F36">
        <v>-81.479889999999997</v>
      </c>
      <c r="G36">
        <v>43.6</v>
      </c>
      <c r="H36">
        <f t="shared" si="0"/>
        <v>1.8507424242424242</v>
      </c>
      <c r="I36">
        <f t="shared" si="1"/>
        <v>1.8672575757575758</v>
      </c>
    </row>
    <row r="37" spans="1:9" x14ac:dyDescent="0.3">
      <c r="A37" t="s">
        <v>42</v>
      </c>
      <c r="B37" t="s">
        <v>118</v>
      </c>
      <c r="C37" s="4" t="s">
        <v>184</v>
      </c>
      <c r="D37">
        <v>17.173999999999999</v>
      </c>
      <c r="E37">
        <v>38.182139999999997</v>
      </c>
      <c r="F37">
        <v>-81.468369999999993</v>
      </c>
      <c r="G37">
        <v>157.5</v>
      </c>
      <c r="H37">
        <f t="shared" si="0"/>
        <v>17.144170454545453</v>
      </c>
      <c r="I37">
        <f t="shared" si="1"/>
        <v>17.203829545454546</v>
      </c>
    </row>
    <row r="38" spans="1:9" x14ac:dyDescent="0.3">
      <c r="A38" t="s">
        <v>43</v>
      </c>
      <c r="B38" t="s">
        <v>119</v>
      </c>
      <c r="C38" s="4" t="s">
        <v>185</v>
      </c>
      <c r="D38">
        <v>7.0000000000000001E-3</v>
      </c>
      <c r="E38">
        <v>37.251010000000001</v>
      </c>
      <c r="F38">
        <v>-81.649680000000004</v>
      </c>
      <c r="G38">
        <v>26</v>
      </c>
      <c r="H38">
        <f t="shared" si="0"/>
        <v>2.0757575757575763E-3</v>
      </c>
      <c r="I38">
        <f t="shared" si="1"/>
        <v>1.1924242424242424E-2</v>
      </c>
    </row>
    <row r="39" spans="1:9" x14ac:dyDescent="0.3">
      <c r="A39" t="s">
        <v>44</v>
      </c>
      <c r="B39" t="s">
        <v>120</v>
      </c>
      <c r="C39" s="4" t="s">
        <v>186</v>
      </c>
      <c r="D39">
        <v>6.4000000000000001E-2</v>
      </c>
      <c r="E39">
        <v>37.338810000000002</v>
      </c>
      <c r="F39">
        <v>-81.732870000000005</v>
      </c>
      <c r="G39">
        <v>153.5</v>
      </c>
      <c r="H39">
        <f t="shared" si="0"/>
        <v>3.4928030303030308E-2</v>
      </c>
      <c r="I39">
        <f t="shared" si="1"/>
        <v>9.3071969696969695E-2</v>
      </c>
    </row>
    <row r="40" spans="1:9" x14ac:dyDescent="0.3">
      <c r="A40" t="s">
        <v>45</v>
      </c>
      <c r="B40" t="s">
        <v>121</v>
      </c>
      <c r="C40" s="4" t="s">
        <v>187</v>
      </c>
      <c r="D40">
        <v>27.664999999999999</v>
      </c>
      <c r="E40">
        <v>37.429679999999998</v>
      </c>
      <c r="F40">
        <v>-81.508309999999994</v>
      </c>
      <c r="G40">
        <v>37.299999999999997</v>
      </c>
      <c r="H40">
        <f t="shared" si="0"/>
        <v>27.657935606060605</v>
      </c>
      <c r="I40">
        <f t="shared" si="1"/>
        <v>27.672064393939394</v>
      </c>
    </row>
    <row r="41" spans="1:9" x14ac:dyDescent="0.3">
      <c r="A41" t="s">
        <v>46</v>
      </c>
      <c r="B41" t="s">
        <v>122</v>
      </c>
      <c r="C41" s="4" t="s">
        <v>188</v>
      </c>
      <c r="D41">
        <v>1.4710000000000001</v>
      </c>
      <c r="E41">
        <v>37.285290000000003</v>
      </c>
      <c r="F41">
        <v>-81.692750000000004</v>
      </c>
      <c r="G41">
        <v>67.599999999999994</v>
      </c>
      <c r="H41">
        <f t="shared" si="0"/>
        <v>1.4581969696969699</v>
      </c>
      <c r="I41">
        <f t="shared" si="1"/>
        <v>1.4838030303030303</v>
      </c>
    </row>
    <row r="42" spans="1:9" x14ac:dyDescent="0.3">
      <c r="A42" t="s">
        <v>47</v>
      </c>
      <c r="B42" t="s">
        <v>123</v>
      </c>
      <c r="C42" s="4" t="s">
        <v>189</v>
      </c>
      <c r="D42">
        <v>5.0000000000000001E-3</v>
      </c>
      <c r="E42">
        <v>37.302079999999997</v>
      </c>
      <c r="F42">
        <v>-81.690690000000004</v>
      </c>
      <c r="G42">
        <v>37.700000000000003</v>
      </c>
      <c r="H42">
        <f t="shared" si="0"/>
        <v>0</v>
      </c>
      <c r="I42">
        <f t="shared" si="1"/>
        <v>1.2140151515151517E-2</v>
      </c>
    </row>
    <row r="43" spans="1:9" x14ac:dyDescent="0.3">
      <c r="A43" t="s">
        <v>48</v>
      </c>
      <c r="B43" t="s">
        <v>124</v>
      </c>
      <c r="C43" s="4" t="s">
        <v>190</v>
      </c>
      <c r="D43">
        <v>132.899</v>
      </c>
      <c r="E43">
        <v>39.439639999999997</v>
      </c>
      <c r="F43">
        <v>-80.174959999999999</v>
      </c>
      <c r="G43">
        <v>853.5</v>
      </c>
      <c r="H43">
        <f t="shared" si="0"/>
        <v>132.73735227272726</v>
      </c>
      <c r="I43">
        <f t="shared" si="1"/>
        <v>133.06064772727274</v>
      </c>
    </row>
    <row r="44" spans="1:9" x14ac:dyDescent="0.3">
      <c r="A44" t="s">
        <v>49</v>
      </c>
      <c r="B44" t="s">
        <v>125</v>
      </c>
      <c r="C44" s="4" t="s">
        <v>191</v>
      </c>
      <c r="D44">
        <v>2.1059999999999999</v>
      </c>
      <c r="E44">
        <v>39.6158</v>
      </c>
      <c r="F44">
        <v>-80.415800000000004</v>
      </c>
      <c r="G44">
        <v>50</v>
      </c>
      <c r="H44">
        <f t="shared" si="0"/>
        <v>2.0965303030303031</v>
      </c>
      <c r="I44">
        <f t="shared" si="1"/>
        <v>2.1154696969696967</v>
      </c>
    </row>
    <row r="45" spans="1:9" x14ac:dyDescent="0.3">
      <c r="A45" t="s">
        <v>50</v>
      </c>
      <c r="B45" t="s">
        <v>126</v>
      </c>
      <c r="C45" s="4" t="s">
        <v>192</v>
      </c>
      <c r="D45">
        <v>1.6160000000000001</v>
      </c>
      <c r="E45">
        <v>39.452089999999998</v>
      </c>
      <c r="F45">
        <v>-80.26858</v>
      </c>
      <c r="G45">
        <v>78</v>
      </c>
      <c r="H45">
        <f t="shared" si="0"/>
        <v>1.6012272727272727</v>
      </c>
      <c r="I45">
        <f t="shared" si="1"/>
        <v>1.6307727272727275</v>
      </c>
    </row>
    <row r="46" spans="1:9" x14ac:dyDescent="0.3">
      <c r="A46" t="s">
        <v>51</v>
      </c>
      <c r="B46" t="s">
        <v>127</v>
      </c>
      <c r="C46" s="4" t="s">
        <v>193</v>
      </c>
      <c r="D46">
        <v>4.0410000000000004</v>
      </c>
      <c r="E46">
        <v>39.520879999999998</v>
      </c>
      <c r="F46">
        <v>-80.422640000000001</v>
      </c>
      <c r="G46">
        <v>98.6</v>
      </c>
      <c r="H46">
        <f t="shared" si="0"/>
        <v>4.0223257575757581</v>
      </c>
      <c r="I46">
        <f t="shared" si="1"/>
        <v>4.0596742424242427</v>
      </c>
    </row>
    <row r="47" spans="1:9" x14ac:dyDescent="0.3">
      <c r="A47" t="s">
        <v>52</v>
      </c>
      <c r="B47" t="s">
        <v>128</v>
      </c>
      <c r="C47" s="4" t="s">
        <v>194</v>
      </c>
      <c r="D47">
        <v>0.1</v>
      </c>
      <c r="E47">
        <v>39.926789999999997</v>
      </c>
      <c r="F47">
        <v>-80.738960000000006</v>
      </c>
      <c r="G47">
        <v>36.9</v>
      </c>
      <c r="H47">
        <f t="shared" si="0"/>
        <v>9.3011363636363642E-2</v>
      </c>
      <c r="I47">
        <f t="shared" si="1"/>
        <v>0.10698863636363637</v>
      </c>
    </row>
    <row r="48" spans="1:9" x14ac:dyDescent="0.3">
      <c r="A48" t="s">
        <v>53</v>
      </c>
      <c r="B48" t="s">
        <v>129</v>
      </c>
      <c r="C48" s="4" t="s">
        <v>195</v>
      </c>
      <c r="D48">
        <v>5.4329999999999998</v>
      </c>
      <c r="E48">
        <v>38.712960000000002</v>
      </c>
      <c r="F48">
        <v>-81.881360000000001</v>
      </c>
      <c r="G48">
        <v>107</v>
      </c>
      <c r="H48">
        <f t="shared" si="0"/>
        <v>5.4127348484848481</v>
      </c>
      <c r="I48">
        <f t="shared" si="1"/>
        <v>5.4532651515151516</v>
      </c>
    </row>
    <row r="49" spans="1:9" x14ac:dyDescent="0.3">
      <c r="A49" t="s">
        <v>54</v>
      </c>
      <c r="B49" t="s">
        <v>130</v>
      </c>
      <c r="C49" s="4" t="s">
        <v>196</v>
      </c>
      <c r="D49">
        <v>2.33</v>
      </c>
      <c r="E49">
        <v>38.54907</v>
      </c>
      <c r="F49">
        <v>-82.145340000000004</v>
      </c>
      <c r="G49">
        <v>62.7</v>
      </c>
      <c r="H49">
        <f t="shared" si="0"/>
        <v>2.3181250000000002</v>
      </c>
      <c r="I49">
        <f t="shared" si="1"/>
        <v>2.3418749999999999</v>
      </c>
    </row>
    <row r="50" spans="1:9" x14ac:dyDescent="0.3">
      <c r="A50" t="s">
        <v>55</v>
      </c>
      <c r="B50" t="s">
        <v>131</v>
      </c>
      <c r="C50" s="4" t="s">
        <v>197</v>
      </c>
      <c r="D50">
        <v>0.28899999999999998</v>
      </c>
      <c r="E50">
        <v>38.863019999999999</v>
      </c>
      <c r="F50">
        <v>-82.121420000000001</v>
      </c>
      <c r="G50">
        <v>83</v>
      </c>
      <c r="H50">
        <f t="shared" si="0"/>
        <v>0.27328030303030298</v>
      </c>
      <c r="I50">
        <f t="shared" si="1"/>
        <v>0.30471969696969697</v>
      </c>
    </row>
    <row r="51" spans="1:9" x14ac:dyDescent="0.3">
      <c r="A51" t="s">
        <v>56</v>
      </c>
      <c r="B51" t="s">
        <v>132</v>
      </c>
      <c r="C51" s="4" t="s">
        <v>198</v>
      </c>
      <c r="D51">
        <v>4.798</v>
      </c>
      <c r="E51">
        <v>37.543349999999997</v>
      </c>
      <c r="F51">
        <v>-81.053110000000004</v>
      </c>
      <c r="G51">
        <v>45.6</v>
      </c>
      <c r="H51">
        <f t="shared" si="0"/>
        <v>4.7893636363636363</v>
      </c>
      <c r="I51">
        <f t="shared" si="1"/>
        <v>4.8066363636363638</v>
      </c>
    </row>
    <row r="52" spans="1:9" x14ac:dyDescent="0.3">
      <c r="A52" t="s">
        <v>57</v>
      </c>
      <c r="B52" t="s">
        <v>133</v>
      </c>
      <c r="C52" s="4" t="s">
        <v>199</v>
      </c>
      <c r="D52">
        <v>143.791</v>
      </c>
      <c r="E52">
        <v>39.520009999999999</v>
      </c>
      <c r="F52">
        <v>-80.015910000000005</v>
      </c>
      <c r="G52">
        <v>72</v>
      </c>
      <c r="H52">
        <f t="shared" si="0"/>
        <v>143.77736363636365</v>
      </c>
      <c r="I52">
        <f t="shared" si="1"/>
        <v>143.80463636363635</v>
      </c>
    </row>
    <row r="53" spans="1:9" x14ac:dyDescent="0.3">
      <c r="A53" t="s">
        <v>58</v>
      </c>
      <c r="B53" t="s">
        <v>134</v>
      </c>
      <c r="C53" s="4" t="s">
        <v>200</v>
      </c>
      <c r="D53">
        <v>9.3480000000000008</v>
      </c>
      <c r="E53">
        <v>37.483159999999998</v>
      </c>
      <c r="F53">
        <v>-80.414429999999996</v>
      </c>
      <c r="G53">
        <v>33.799999999999997</v>
      </c>
      <c r="H53">
        <f t="shared" si="0"/>
        <v>9.3415984848484861</v>
      </c>
      <c r="I53">
        <f t="shared" si="1"/>
        <v>9.3544015151515154</v>
      </c>
    </row>
    <row r="54" spans="1:9" x14ac:dyDescent="0.3">
      <c r="A54" t="s">
        <v>59</v>
      </c>
      <c r="B54" t="s">
        <v>135</v>
      </c>
      <c r="C54" s="4" t="s">
        <v>201</v>
      </c>
      <c r="D54">
        <v>3.2480000000000002</v>
      </c>
      <c r="E54">
        <v>38.183489999999999</v>
      </c>
      <c r="F54">
        <v>-80.804689999999994</v>
      </c>
      <c r="G54">
        <v>22</v>
      </c>
      <c r="H54">
        <f t="shared" si="0"/>
        <v>3.2438333333333333</v>
      </c>
      <c r="I54">
        <f t="shared" si="1"/>
        <v>3.2521666666666671</v>
      </c>
    </row>
    <row r="55" spans="1:9" x14ac:dyDescent="0.3">
      <c r="A55" t="s">
        <v>60</v>
      </c>
      <c r="B55" t="s">
        <v>136</v>
      </c>
      <c r="C55" s="4" t="s">
        <v>202</v>
      </c>
      <c r="D55">
        <v>13.946999999999999</v>
      </c>
      <c r="E55">
        <v>40.098410000000001</v>
      </c>
      <c r="F55">
        <v>-80.555400000000006</v>
      </c>
      <c r="G55">
        <v>69.900000000000006</v>
      </c>
      <c r="H55">
        <f t="shared" si="0"/>
        <v>13.933761363636362</v>
      </c>
      <c r="I55">
        <f t="shared" si="1"/>
        <v>13.960238636363636</v>
      </c>
    </row>
    <row r="56" spans="1:9" x14ac:dyDescent="0.3">
      <c r="A56" t="s">
        <v>61</v>
      </c>
      <c r="B56" t="s">
        <v>137</v>
      </c>
      <c r="C56" s="4" t="s">
        <v>203</v>
      </c>
      <c r="D56">
        <v>12.715999999999999</v>
      </c>
      <c r="E56">
        <v>40.083080000000002</v>
      </c>
      <c r="F56">
        <v>-80.546779999999998</v>
      </c>
      <c r="G56">
        <v>103.5</v>
      </c>
      <c r="H56">
        <f t="shared" si="0"/>
        <v>12.696397727272727</v>
      </c>
      <c r="I56">
        <f t="shared" si="1"/>
        <v>12.735602272727272</v>
      </c>
    </row>
    <row r="57" spans="1:9" x14ac:dyDescent="0.3">
      <c r="A57" t="s">
        <v>62</v>
      </c>
      <c r="B57" t="s">
        <v>138</v>
      </c>
      <c r="C57" s="4" t="s">
        <v>204</v>
      </c>
      <c r="D57">
        <v>12.717000000000001</v>
      </c>
      <c r="E57">
        <v>40.082909999999998</v>
      </c>
      <c r="F57">
        <v>-80.546530000000004</v>
      </c>
      <c r="G57">
        <v>103.1</v>
      </c>
      <c r="H57">
        <f t="shared" si="0"/>
        <v>12.697473484848485</v>
      </c>
      <c r="I57">
        <f t="shared" si="1"/>
        <v>12.736526515151516</v>
      </c>
    </row>
    <row r="58" spans="1:9" x14ac:dyDescent="0.3">
      <c r="A58" t="s">
        <v>63</v>
      </c>
      <c r="B58" t="s">
        <v>139</v>
      </c>
      <c r="C58" s="4" t="s">
        <v>205</v>
      </c>
      <c r="D58">
        <v>0.27100000000000002</v>
      </c>
      <c r="E58">
        <v>38.83229</v>
      </c>
      <c r="F58">
        <v>-79.372950000000003</v>
      </c>
      <c r="G58">
        <v>140</v>
      </c>
      <c r="H58">
        <f t="shared" si="0"/>
        <v>0.24448484848484853</v>
      </c>
      <c r="I58">
        <f t="shared" si="1"/>
        <v>0.29751515151515151</v>
      </c>
    </row>
    <row r="59" spans="1:9" x14ac:dyDescent="0.3">
      <c r="A59" t="s">
        <v>64</v>
      </c>
      <c r="B59" t="s">
        <v>140</v>
      </c>
      <c r="C59" s="4" t="s">
        <v>206</v>
      </c>
      <c r="D59">
        <v>0.26200000000000001</v>
      </c>
      <c r="E59">
        <v>38.475560000000002</v>
      </c>
      <c r="F59">
        <v>-79.798810000000003</v>
      </c>
      <c r="G59">
        <v>47.8</v>
      </c>
      <c r="H59">
        <f t="shared" si="0"/>
        <v>0.25294696969696973</v>
      </c>
      <c r="I59">
        <f t="shared" si="1"/>
        <v>0.2710530303030303</v>
      </c>
    </row>
    <row r="60" spans="1:9" x14ac:dyDescent="0.3">
      <c r="A60" t="s">
        <v>65</v>
      </c>
      <c r="B60" t="s">
        <v>141</v>
      </c>
      <c r="C60" s="4" t="s">
        <v>207</v>
      </c>
      <c r="D60">
        <v>0.75600000000000001</v>
      </c>
      <c r="E60">
        <v>39.391730000000003</v>
      </c>
      <c r="F60">
        <v>-79.584900000000005</v>
      </c>
      <c r="G60">
        <v>30</v>
      </c>
      <c r="H60">
        <f t="shared" si="0"/>
        <v>0.75031818181818177</v>
      </c>
      <c r="I60">
        <f t="shared" si="1"/>
        <v>0.76168181818181824</v>
      </c>
    </row>
    <row r="61" spans="1:9" x14ac:dyDescent="0.3">
      <c r="A61" t="s">
        <v>66</v>
      </c>
      <c r="B61" t="s">
        <v>142</v>
      </c>
      <c r="C61" s="4" t="s">
        <v>208</v>
      </c>
      <c r="D61">
        <v>5.5750000000000002</v>
      </c>
      <c r="E61">
        <v>38.453150000000001</v>
      </c>
      <c r="F61">
        <v>-81.860789999999994</v>
      </c>
      <c r="G61">
        <v>156.9</v>
      </c>
      <c r="H61">
        <f t="shared" si="0"/>
        <v>5.5452840909090915</v>
      </c>
      <c r="I61">
        <f t="shared" si="1"/>
        <v>5.6047159090909089</v>
      </c>
    </row>
    <row r="62" spans="1:9" x14ac:dyDescent="0.3">
      <c r="A62" t="s">
        <v>67</v>
      </c>
      <c r="B62" t="s">
        <v>143</v>
      </c>
      <c r="C62" s="4" t="s">
        <v>209</v>
      </c>
      <c r="D62">
        <v>0.13600000000000001</v>
      </c>
      <c r="E62">
        <v>38.447740000000003</v>
      </c>
      <c r="F62">
        <v>-81.848849999999999</v>
      </c>
      <c r="G62">
        <v>342.5</v>
      </c>
      <c r="H62">
        <f t="shared" si="0"/>
        <v>7.1132575757575756E-2</v>
      </c>
      <c r="I62">
        <f t="shared" si="1"/>
        <v>0.20086742424242426</v>
      </c>
    </row>
    <row r="63" spans="1:9" x14ac:dyDescent="0.3">
      <c r="A63" t="s">
        <v>68</v>
      </c>
      <c r="B63" t="s">
        <v>144</v>
      </c>
      <c r="C63" s="4" t="s">
        <v>210</v>
      </c>
      <c r="D63">
        <v>0.247</v>
      </c>
      <c r="E63">
        <v>38.448120000000003</v>
      </c>
      <c r="F63">
        <v>-81.849140000000006</v>
      </c>
      <c r="G63">
        <v>172</v>
      </c>
      <c r="H63">
        <f t="shared" si="0"/>
        <v>0.21442424242424241</v>
      </c>
      <c r="I63">
        <f t="shared" si="1"/>
        <v>0.27957575757575759</v>
      </c>
    </row>
    <row r="64" spans="1:9" x14ac:dyDescent="0.3">
      <c r="A64" t="s">
        <v>69</v>
      </c>
      <c r="B64" t="s">
        <v>145</v>
      </c>
      <c r="C64" s="4" t="s">
        <v>211</v>
      </c>
      <c r="D64">
        <v>1.4E-2</v>
      </c>
      <c r="E64">
        <v>38.412550000000003</v>
      </c>
      <c r="F64">
        <v>-81.983710000000002</v>
      </c>
      <c r="G64">
        <v>28.9</v>
      </c>
      <c r="H64">
        <f t="shared" si="0"/>
        <v>8.526515151515153E-3</v>
      </c>
      <c r="I64">
        <f t="shared" si="1"/>
        <v>1.9473484848484848E-2</v>
      </c>
    </row>
    <row r="65" spans="1:9" x14ac:dyDescent="0.3">
      <c r="A65" t="s">
        <v>70</v>
      </c>
      <c r="B65" t="s">
        <v>146</v>
      </c>
      <c r="C65" s="4" t="s">
        <v>212</v>
      </c>
      <c r="D65">
        <v>4.3999999999999997E-2</v>
      </c>
      <c r="E65">
        <v>37.742130000000003</v>
      </c>
      <c r="F65">
        <v>-81.306010000000001</v>
      </c>
      <c r="G65">
        <v>27.8</v>
      </c>
      <c r="H65">
        <f t="shared" si="0"/>
        <v>3.8734848484848483E-2</v>
      </c>
      <c r="I65">
        <f t="shared" si="1"/>
        <v>4.9265151515151512E-2</v>
      </c>
    </row>
    <row r="66" spans="1:9" x14ac:dyDescent="0.3">
      <c r="A66" t="s">
        <v>71</v>
      </c>
      <c r="B66" t="s">
        <v>147</v>
      </c>
      <c r="C66" s="4" t="s">
        <v>213</v>
      </c>
      <c r="D66">
        <v>0.13700000000000001</v>
      </c>
      <c r="E66">
        <v>37.884010000000004</v>
      </c>
      <c r="F66">
        <v>-81.534099999999995</v>
      </c>
      <c r="G66">
        <v>35.9</v>
      </c>
      <c r="H66">
        <f t="shared" si="0"/>
        <v>0.13020075757575758</v>
      </c>
      <c r="I66">
        <f t="shared" si="1"/>
        <v>0.14379924242424244</v>
      </c>
    </row>
    <row r="67" spans="1:9" x14ac:dyDescent="0.3">
      <c r="A67" t="s">
        <v>72</v>
      </c>
      <c r="B67" t="s">
        <v>148</v>
      </c>
      <c r="C67" s="4" t="s">
        <v>214</v>
      </c>
      <c r="D67">
        <v>0.61299999999999999</v>
      </c>
      <c r="E67">
        <v>37.793610000000001</v>
      </c>
      <c r="F67">
        <v>-81.17456</v>
      </c>
      <c r="G67">
        <v>53</v>
      </c>
      <c r="H67">
        <f t="shared" ref="H67:H77" si="2">IF(2*(D67)-I67&gt;0,2*(D67)-I67,0)</f>
        <v>0.60296212121212123</v>
      </c>
      <c r="I67">
        <f t="shared" ref="I67:I77" si="3">(G67/5280)+D67</f>
        <v>0.62303787878787875</v>
      </c>
    </row>
    <row r="68" spans="1:9" x14ac:dyDescent="0.3">
      <c r="A68" t="s">
        <v>73</v>
      </c>
      <c r="B68" t="s">
        <v>149</v>
      </c>
      <c r="C68" s="4" t="s">
        <v>215</v>
      </c>
      <c r="D68">
        <v>11.358000000000001</v>
      </c>
      <c r="E68">
        <v>38.552599999999998</v>
      </c>
      <c r="F68">
        <v>-80.037199999999999</v>
      </c>
      <c r="G68">
        <v>148.1</v>
      </c>
      <c r="H68">
        <f t="shared" si="2"/>
        <v>11.329950757575759</v>
      </c>
      <c r="I68">
        <f t="shared" si="3"/>
        <v>11.386049242424242</v>
      </c>
    </row>
    <row r="69" spans="1:9" x14ac:dyDescent="0.3">
      <c r="A69" t="s">
        <v>74</v>
      </c>
      <c r="B69" t="s">
        <v>150</v>
      </c>
      <c r="C69" s="4" t="s">
        <v>216</v>
      </c>
      <c r="D69">
        <v>12.768000000000001</v>
      </c>
      <c r="E69">
        <v>38.800930000000001</v>
      </c>
      <c r="F69">
        <v>-81.349100000000007</v>
      </c>
      <c r="G69">
        <v>198</v>
      </c>
      <c r="H69">
        <f t="shared" si="2"/>
        <v>12.730500000000001</v>
      </c>
      <c r="I69">
        <f t="shared" si="3"/>
        <v>12.8055</v>
      </c>
    </row>
    <row r="70" spans="1:9" x14ac:dyDescent="0.3">
      <c r="A70" t="s">
        <v>75</v>
      </c>
      <c r="B70" t="s">
        <v>151</v>
      </c>
      <c r="C70" s="4" t="s">
        <v>217</v>
      </c>
      <c r="D70">
        <v>15.66</v>
      </c>
      <c r="E70">
        <v>37.681910000000002</v>
      </c>
      <c r="F70">
        <v>-80.875720000000001</v>
      </c>
      <c r="G70">
        <v>105</v>
      </c>
      <c r="H70">
        <f t="shared" si="2"/>
        <v>15.640113636363637</v>
      </c>
      <c r="I70">
        <f t="shared" si="3"/>
        <v>15.679886363636363</v>
      </c>
    </row>
    <row r="71" spans="1:9" x14ac:dyDescent="0.3">
      <c r="A71" t="s">
        <v>76</v>
      </c>
      <c r="B71" t="s">
        <v>152</v>
      </c>
      <c r="C71" s="4" t="s">
        <v>218</v>
      </c>
      <c r="D71">
        <v>0.379</v>
      </c>
      <c r="E71">
        <v>37.514629999999997</v>
      </c>
      <c r="F71">
        <v>-80.837639999999993</v>
      </c>
      <c r="G71">
        <v>148.19999999999999</v>
      </c>
      <c r="H71">
        <f t="shared" si="2"/>
        <v>0.35093181818181818</v>
      </c>
      <c r="I71">
        <f t="shared" si="3"/>
        <v>0.40706818181818183</v>
      </c>
    </row>
    <row r="72" spans="1:9" x14ac:dyDescent="0.3">
      <c r="A72" t="s">
        <v>77</v>
      </c>
      <c r="B72" t="s">
        <v>153</v>
      </c>
      <c r="C72" s="4" t="s">
        <v>219</v>
      </c>
      <c r="D72">
        <v>20.6</v>
      </c>
      <c r="E72">
        <v>39.113720000000001</v>
      </c>
      <c r="F72">
        <v>-79.678190000000001</v>
      </c>
      <c r="G72">
        <v>128.80000000000001</v>
      </c>
      <c r="H72">
        <f t="shared" si="2"/>
        <v>20.575606060606063</v>
      </c>
      <c r="I72">
        <f t="shared" si="3"/>
        <v>20.62439393939394</v>
      </c>
    </row>
    <row r="73" spans="1:9" x14ac:dyDescent="0.3">
      <c r="A73" t="s">
        <v>78</v>
      </c>
      <c r="B73" t="s">
        <v>154</v>
      </c>
      <c r="C73" s="4" t="s">
        <v>220</v>
      </c>
      <c r="D73">
        <v>0.83</v>
      </c>
      <c r="E73">
        <v>39.468780000000002</v>
      </c>
      <c r="F73">
        <v>-80.822599999999994</v>
      </c>
      <c r="G73">
        <v>25.3</v>
      </c>
      <c r="H73">
        <f t="shared" si="2"/>
        <v>0.82520833333333332</v>
      </c>
      <c r="I73">
        <f t="shared" si="3"/>
        <v>0.8347916666666666</v>
      </c>
    </row>
    <row r="74" spans="1:9" x14ac:dyDescent="0.3">
      <c r="A74" t="s">
        <v>79</v>
      </c>
      <c r="B74" t="s">
        <v>155</v>
      </c>
      <c r="C74" s="4" t="s">
        <v>221</v>
      </c>
      <c r="D74">
        <v>7.4560000000000004</v>
      </c>
      <c r="E74">
        <v>39.400370000000002</v>
      </c>
      <c r="F74">
        <v>-80.747349999999997</v>
      </c>
      <c r="G74">
        <v>52</v>
      </c>
      <c r="H74">
        <f t="shared" si="2"/>
        <v>7.4461515151515156</v>
      </c>
      <c r="I74">
        <f t="shared" si="3"/>
        <v>7.4658484848484852</v>
      </c>
    </row>
    <row r="75" spans="1:9" x14ac:dyDescent="0.3">
      <c r="A75" t="s">
        <v>80</v>
      </c>
      <c r="B75" t="s">
        <v>156</v>
      </c>
      <c r="C75" s="4" t="s">
        <v>222</v>
      </c>
      <c r="D75">
        <v>12.840999999999999</v>
      </c>
      <c r="E75">
        <v>38.81955</v>
      </c>
      <c r="F75">
        <v>-81.213920000000002</v>
      </c>
      <c r="G75">
        <v>172.3</v>
      </c>
      <c r="H75">
        <f t="shared" si="2"/>
        <v>12.808367424242423</v>
      </c>
      <c r="I75">
        <f t="shared" si="3"/>
        <v>12.873632575757576</v>
      </c>
    </row>
    <row r="76" spans="1:9" x14ac:dyDescent="0.3">
      <c r="A76" t="s">
        <v>81</v>
      </c>
      <c r="B76" t="s">
        <v>157</v>
      </c>
      <c r="C76" s="4" t="s">
        <v>223</v>
      </c>
      <c r="D76">
        <v>11.247</v>
      </c>
      <c r="E76">
        <v>39.613379999999999</v>
      </c>
      <c r="F76">
        <v>-80.761200000000002</v>
      </c>
      <c r="G76">
        <v>102.5</v>
      </c>
      <c r="H76">
        <f t="shared" si="2"/>
        <v>11.227587121212121</v>
      </c>
      <c r="I76">
        <f t="shared" si="3"/>
        <v>11.266412878787879</v>
      </c>
    </row>
    <row r="77" spans="1:9" x14ac:dyDescent="0.3">
      <c r="A77" t="s">
        <v>82</v>
      </c>
      <c r="B77" t="s">
        <v>158</v>
      </c>
      <c r="C77" s="4" t="s">
        <v>224</v>
      </c>
      <c r="D77">
        <v>36.529000000000003</v>
      </c>
      <c r="E77">
        <v>37.691870000000002</v>
      </c>
      <c r="F77">
        <v>-81.623630000000006</v>
      </c>
      <c r="G77">
        <v>83</v>
      </c>
      <c r="H77">
        <f t="shared" si="2"/>
        <v>36.513280303030307</v>
      </c>
      <c r="I77">
        <f t="shared" si="3"/>
        <v>36.5447196969697</v>
      </c>
    </row>
  </sheetData>
  <autoFilter ref="A1:I77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D'Agostin, Fernanda</cp:lastModifiedBy>
  <dcterms:created xsi:type="dcterms:W3CDTF">2024-03-22T18:45:46Z</dcterms:created>
  <dcterms:modified xsi:type="dcterms:W3CDTF">2024-03-26T15:00:37Z</dcterms:modified>
</cp:coreProperties>
</file>